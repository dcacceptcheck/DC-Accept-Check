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aan\Downloads\"/>
    </mc:Choice>
  </mc:AlternateContent>
  <xr:revisionPtr revIDLastSave="0" documentId="13_ncr:1_{2706F392-13CF-4BD7-AA18-683BCA033390}" xr6:coauthVersionLast="47" xr6:coauthVersionMax="47" xr10:uidLastSave="{00000000-0000-0000-0000-000000000000}"/>
  <bookViews>
    <workbookView xWindow="28680" yWindow="-120" windowWidth="29040" windowHeight="17520" activeTab="1" xr2:uid="{4CDC0430-D486-45F3-9CBF-111D412244E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F4" i="2" s="1"/>
  <c r="E2" i="2"/>
  <c r="F2" i="2" s="1"/>
  <c r="F3" i="2"/>
  <c r="G2" i="2"/>
  <c r="H2" i="2" s="1"/>
  <c r="G3" i="2"/>
  <c r="H3" i="2" s="1"/>
  <c r="G4" i="2"/>
  <c r="H4" i="2" s="1"/>
</calcChain>
</file>

<file path=xl/sharedStrings.xml><?xml version="1.0" encoding="utf-8"?>
<sst xmlns="http://schemas.openxmlformats.org/spreadsheetml/2006/main" count="37" uniqueCount="33">
  <si>
    <t>ห้าง</t>
  </si>
  <si>
    <t>Makro</t>
  </si>
  <si>
    <t>Lotus</t>
  </si>
  <si>
    <t>Big-c</t>
  </si>
  <si>
    <t>ไม่เกิน 20% นับจากวันผลิต</t>
  </si>
  <si>
    <t>ไม่เกิน 25% นับจากวันผลิต</t>
  </si>
  <si>
    <t>เกณฑ์การรับสินค้า ของดีซีห้าง</t>
  </si>
  <si>
    <t>Tops</t>
  </si>
  <si>
    <t>ไม่เกิน 30% นับจากวันผลิต</t>
  </si>
  <si>
    <t>7-11</t>
  </si>
  <si>
    <t>ไม่เกิน 15% นับจากวันผลิต</t>
  </si>
  <si>
    <t>Tops Daily</t>
  </si>
  <si>
    <t>Go Wholesale</t>
  </si>
  <si>
    <t>Foodland</t>
  </si>
  <si>
    <t>The Mall</t>
  </si>
  <si>
    <t>Villa</t>
  </si>
  <si>
    <t>Lawson108</t>
  </si>
  <si>
    <t>Jiffy (ปตท.)</t>
  </si>
  <si>
    <t>Max Valu (Aeon)</t>
  </si>
  <si>
    <t>CJ</t>
  </si>
  <si>
    <t xml:space="preserve">เกณฑ์การรับสินค้า ของดีซีห้าง แผนก MT </t>
  </si>
  <si>
    <t xml:space="preserve">Golden Place (สุวรรณชาด) </t>
  </si>
  <si>
    <t>Max Mart (ปิโตรเลียมไทย)</t>
  </si>
  <si>
    <t>สินค้า</t>
  </si>
  <si>
    <t>วุ้นเส้นแห้ง</t>
  </si>
  <si>
    <t>วุ้นเส้นสด</t>
  </si>
  <si>
    <t>แป้ง</t>
  </si>
  <si>
    <t>อายุสินค้า (นับจากวันผลิต)</t>
  </si>
  <si>
    <t>Input (วันผลิต)</t>
  </si>
  <si>
    <t>วันที่ปัจจุบัน</t>
  </si>
  <si>
    <t>เกณฑ์การรับสินค้า ของดีซีห้าง (ไม่เกิน 25% นับจากวันผลิต)</t>
  </si>
  <si>
    <t>วันผลิต+25%นับจากวันผลิต</t>
  </si>
  <si>
    <t>เทียบวันที่ปัจจุบัน &lt; วันผลิต+25%นับจากวันผลิต หรือไม่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</si>
</sst>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Tahoma"/>
      <family val="2"/>
    </font>
    <font>
      <b/>
      <sz val="11"/>
      <color theme="1"/>
      <name val="Tahoma"/>
      <family val="2"/>
    </font>
    <font>
      <b/>
      <sz val="12"/>
      <color theme="1"/>
      <name val="Tahoma"/>
      <family val="2"/>
    </font>
    <font>
      <sz val="11"/>
      <color rgb="FFFF0000"/>
      <name val="Tahoma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2" borderId="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1" fillId="0" borderId="1" xfId="0" applyFont="1" applyBorder="1"/>
    <xf numFmtId="0" fontId="1" fillId="0" borderId="6" xfId="0" applyFont="1" applyBorder="1"/>
    <xf numFmtId="0" fontId="1" fillId="0" borderId="8" xfId="0" applyFont="1" applyBorder="1"/>
    <xf numFmtId="0" fontId="1" fillId="0" borderId="7" xfId="0" applyFont="1" applyBorder="1"/>
    <xf numFmtId="0" fontId="1" fillId="0" borderId="7" xfId="0" quotePrefix="1" applyFont="1" applyBorder="1"/>
    <xf numFmtId="0" fontId="1" fillId="0" borderId="10" xfId="0" applyFont="1" applyBorder="1"/>
    <xf numFmtId="0" fontId="4" fillId="0" borderId="9" xfId="0" applyFont="1" applyBorder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0" xfId="0" applyBorder="1"/>
    <xf numFmtId="0" fontId="5" fillId="0" borderId="0" xfId="0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5C296-A51C-4124-AAE1-E4A16197FC42}">
  <dimension ref="B2:C20"/>
  <sheetViews>
    <sheetView showGridLines="0" workbookViewId="0">
      <selection activeCell="C8" sqref="C8"/>
    </sheetView>
  </sheetViews>
  <sheetFormatPr defaultRowHeight="16" customHeight="1" x14ac:dyDescent="0.3"/>
  <cols>
    <col min="1" max="1" width="8.7265625" style="1"/>
    <col min="2" max="2" width="24.54296875" style="1" customWidth="1"/>
    <col min="3" max="3" width="32.08984375" style="2" customWidth="1"/>
    <col min="4" max="16384" width="8.7265625" style="1"/>
  </cols>
  <sheetData>
    <row r="2" spans="2:3" ht="16" customHeight="1" x14ac:dyDescent="0.3">
      <c r="B2" s="3" t="s">
        <v>20</v>
      </c>
    </row>
    <row r="3" spans="2:3" ht="16" customHeight="1" thickBot="1" x14ac:dyDescent="0.35"/>
    <row r="4" spans="2:3" s="2" customFormat="1" ht="16" customHeight="1" thickBot="1" x14ac:dyDescent="0.35">
      <c r="B4" s="6" t="s">
        <v>0</v>
      </c>
      <c r="C4" s="4" t="s">
        <v>6</v>
      </c>
    </row>
    <row r="5" spans="2:3" ht="16" customHeight="1" x14ac:dyDescent="0.3">
      <c r="B5" s="8" t="s">
        <v>12</v>
      </c>
      <c r="C5" s="14" t="s">
        <v>8</v>
      </c>
    </row>
    <row r="6" spans="2:3" ht="16" customHeight="1" x14ac:dyDescent="0.3">
      <c r="B6" s="10" t="s">
        <v>7</v>
      </c>
      <c r="C6" s="15"/>
    </row>
    <row r="7" spans="2:3" ht="16" customHeight="1" thickBot="1" x14ac:dyDescent="0.35">
      <c r="B7" s="9" t="s">
        <v>17</v>
      </c>
      <c r="C7" s="16"/>
    </row>
    <row r="8" spans="2:3" ht="16" customHeight="1" thickBot="1" x14ac:dyDescent="0.35">
      <c r="B8" s="7" t="s">
        <v>2</v>
      </c>
      <c r="C8" s="5" t="s">
        <v>5</v>
      </c>
    </row>
    <row r="9" spans="2:3" ht="16" customHeight="1" x14ac:dyDescent="0.3">
      <c r="B9" s="8" t="s">
        <v>1</v>
      </c>
      <c r="C9" s="17" t="s">
        <v>4</v>
      </c>
    </row>
    <row r="10" spans="2:3" ht="16" customHeight="1" x14ac:dyDescent="0.3">
      <c r="B10" s="10" t="s">
        <v>3</v>
      </c>
      <c r="C10" s="18"/>
    </row>
    <row r="11" spans="2:3" ht="16" customHeight="1" x14ac:dyDescent="0.3">
      <c r="B11" s="10" t="s">
        <v>13</v>
      </c>
      <c r="C11" s="18"/>
    </row>
    <row r="12" spans="2:3" ht="16" customHeight="1" x14ac:dyDescent="0.3">
      <c r="B12" s="10" t="s">
        <v>14</v>
      </c>
      <c r="C12" s="18"/>
    </row>
    <row r="13" spans="2:3" ht="16" customHeight="1" x14ac:dyDescent="0.3">
      <c r="B13" s="10" t="s">
        <v>18</v>
      </c>
      <c r="C13" s="18"/>
    </row>
    <row r="14" spans="2:3" ht="16" customHeight="1" x14ac:dyDescent="0.3">
      <c r="B14" s="10" t="s">
        <v>15</v>
      </c>
      <c r="C14" s="18"/>
    </row>
    <row r="15" spans="2:3" ht="16" customHeight="1" thickBot="1" x14ac:dyDescent="0.35">
      <c r="B15" s="12" t="s">
        <v>16</v>
      </c>
      <c r="C15" s="19"/>
    </row>
    <row r="16" spans="2:3" ht="16" customHeight="1" x14ac:dyDescent="0.3">
      <c r="B16" s="13" t="s">
        <v>22</v>
      </c>
      <c r="C16" s="17" t="s">
        <v>10</v>
      </c>
    </row>
    <row r="17" spans="2:3" ht="16" customHeight="1" x14ac:dyDescent="0.3">
      <c r="B17" s="10" t="s">
        <v>19</v>
      </c>
      <c r="C17" s="18"/>
    </row>
    <row r="18" spans="2:3" ht="16" customHeight="1" x14ac:dyDescent="0.3">
      <c r="B18" s="10" t="s">
        <v>11</v>
      </c>
      <c r="C18" s="18"/>
    </row>
    <row r="19" spans="2:3" ht="16" customHeight="1" x14ac:dyDescent="0.3">
      <c r="B19" s="11" t="s">
        <v>9</v>
      </c>
      <c r="C19" s="18"/>
    </row>
    <row r="20" spans="2:3" ht="16" customHeight="1" thickBot="1" x14ac:dyDescent="0.35">
      <c r="B20" s="9" t="s">
        <v>21</v>
      </c>
      <c r="C20" s="19"/>
    </row>
  </sheetData>
  <mergeCells count="3">
    <mergeCell ref="C5:C7"/>
    <mergeCell ref="C9:C15"/>
    <mergeCell ref="C16:C2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57DD6-89D8-4003-B873-9FEED9EFFDC3}">
  <dimension ref="A1:H4"/>
  <sheetViews>
    <sheetView tabSelected="1" workbookViewId="0">
      <pane ySplit="1" topLeftCell="A2" activePane="bottomLeft" state="frozen"/>
      <selection pane="bottomLeft" activeCell="E14" sqref="E14"/>
    </sheetView>
  </sheetViews>
  <sheetFormatPr defaultRowHeight="14.5" x14ac:dyDescent="0.35"/>
  <cols>
    <col min="1" max="2" width="8.7265625" style="20"/>
    <col min="3" max="3" width="22.7265625" style="20" bestFit="1" customWidth="1"/>
    <col min="4" max="4" width="12.54296875" bestFit="1" customWidth="1"/>
    <col min="5" max="5" width="49.81640625" bestFit="1" customWidth="1"/>
    <col min="6" max="6" width="25.26953125" bestFit="1" customWidth="1"/>
    <col min="7" max="7" width="10.36328125" bestFit="1" customWidth="1"/>
    <col min="8" max="8" width="50" bestFit="1" customWidth="1"/>
  </cols>
  <sheetData>
    <row r="1" spans="1:8" x14ac:dyDescent="0.35">
      <c r="A1" s="21" t="s">
        <v>0</v>
      </c>
      <c r="B1" s="21" t="s">
        <v>23</v>
      </c>
      <c r="C1" s="21" t="s">
        <v>27</v>
      </c>
      <c r="D1" s="22" t="s">
        <v>28</v>
      </c>
      <c r="E1" s="22" t="s">
        <v>30</v>
      </c>
      <c r="F1" s="22" t="s">
        <v>31</v>
      </c>
      <c r="G1" s="23" t="s">
        <v>29</v>
      </c>
      <c r="H1" s="23" t="s">
        <v>32</v>
      </c>
    </row>
    <row r="2" spans="1:8" x14ac:dyDescent="0.35">
      <c r="A2" s="24" t="s">
        <v>2</v>
      </c>
      <c r="B2" s="25" t="s">
        <v>24</v>
      </c>
      <c r="C2" s="25">
        <v>730</v>
      </c>
      <c r="D2" s="26">
        <v>46143</v>
      </c>
      <c r="E2" s="27">
        <f>ROUNDDOWN(C2*0.25,0)-1</f>
        <v>181</v>
      </c>
      <c r="F2" s="26">
        <f>D2+E2</f>
        <v>46324</v>
      </c>
      <c r="G2" s="26">
        <f ca="1">TODAY()</f>
        <v>46201</v>
      </c>
      <c r="H2" s="27" t="str">
        <f ca="1">IF(G2&lt;F2,"Yes","No")</f>
        <v>Yes</v>
      </c>
    </row>
    <row r="3" spans="1:8" x14ac:dyDescent="0.35">
      <c r="A3" s="24" t="s">
        <v>2</v>
      </c>
      <c r="B3" s="25" t="s">
        <v>25</v>
      </c>
      <c r="C3" s="25">
        <v>60</v>
      </c>
      <c r="D3" s="26">
        <v>46143</v>
      </c>
      <c r="E3" s="27">
        <f t="shared" ref="E3:E4" si="0">ROUNDDOWN(C3*0.25,0)-1</f>
        <v>14</v>
      </c>
      <c r="F3" s="26">
        <f t="shared" ref="F3:F4" si="1">D3+E3</f>
        <v>46157</v>
      </c>
      <c r="G3" s="26">
        <f t="shared" ref="G3:G4" ca="1" si="2">TODAY()</f>
        <v>46201</v>
      </c>
      <c r="H3" s="27" t="str">
        <f t="shared" ref="H3:H4" ca="1" si="3">IF(G3&lt;F3,"Yes","No")</f>
        <v>No</v>
      </c>
    </row>
    <row r="4" spans="1:8" x14ac:dyDescent="0.35">
      <c r="A4" s="24" t="s">
        <v>2</v>
      </c>
      <c r="B4" s="25" t="s">
        <v>26</v>
      </c>
      <c r="C4" s="25">
        <v>365</v>
      </c>
      <c r="D4" s="26">
        <v>46143</v>
      </c>
      <c r="E4" s="27">
        <f t="shared" si="0"/>
        <v>90</v>
      </c>
      <c r="F4" s="26">
        <f t="shared" si="1"/>
        <v>46233</v>
      </c>
      <c r="G4" s="26">
        <f t="shared" ca="1" si="2"/>
        <v>46201</v>
      </c>
      <c r="H4" s="27" t="str">
        <f t="shared" ca="1" si="3"/>
        <v>Yes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425ed56-3a76-445e-9a31-894318296f63}" enabled="0" method="" siteId="{d425ed56-3a76-445e-9a31-894318296f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Watchiraphon Tanmathusorachai</dc:creator>
  <cp:lastModifiedBy>Waan Waan</cp:lastModifiedBy>
  <cp:lastPrinted>2026-03-25T03:14:07Z</cp:lastPrinted>
  <dcterms:created xsi:type="dcterms:W3CDTF">2026-03-25T03:04:05Z</dcterms:created>
  <dcterms:modified xsi:type="dcterms:W3CDTF">2026-06-28T14:38:20Z</dcterms:modified>
</cp:coreProperties>
</file>